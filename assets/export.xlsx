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iana-my.sharepoint.com/personal/ehzhang_iu_edu/Documents/Documents/ARG/assets/"/>
    </mc:Choice>
  </mc:AlternateContent>
  <xr:revisionPtr revIDLastSave="337" documentId="8_{FC6F4E4B-D039-435B-8C18-516D9D2EDF26}" xr6:coauthVersionLast="47" xr6:coauthVersionMax="47" xr10:uidLastSave="{3867AC2F-A3E8-46D5-A5E9-46C026EA04F6}"/>
  <bookViews>
    <workbookView xWindow="28680" yWindow="-120" windowWidth="29040" windowHeight="15840" activeTab="1" xr2:uid="{6A3BCE19-287E-4C5F-82D5-853AEBBE09D8}"/>
  </bookViews>
  <sheets>
    <sheet name="Queue" sheetId="1" r:id="rId1"/>
    <sheet name="Circuit" sheetId="2" r:id="rId2"/>
    <sheet name="_DECRYP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D7" i="2" l="1"/>
  <c r="C2" i="3" s="1"/>
  <c r="A2" i="3"/>
  <c r="F2" i="1"/>
  <c r="F3" i="1" s="1"/>
  <c r="F4" i="1" s="1"/>
  <c r="F5" i="1" s="1"/>
  <c r="F6" i="1" s="1"/>
  <c r="F7" i="1" s="1"/>
  <c r="F8" i="1" s="1" a="1"/>
  <c r="F8" i="1" s="1"/>
  <c r="F9" i="1" s="1" a="1"/>
  <c r="F9" i="1" s="1"/>
  <c r="Z31" i="1"/>
  <c r="H9" i="1" l="1"/>
  <c r="H2" i="1"/>
  <c r="H8" i="1"/>
  <c r="F10" i="1"/>
  <c r="F11" i="1" s="1"/>
  <c r="F12" i="1" s="1"/>
  <c r="F13" i="1" s="1"/>
  <c r="F14" i="1" s="1"/>
  <c r="F15" i="1" l="1" a="1"/>
  <c r="F15" i="1" s="1"/>
  <c r="H15" i="1" s="1"/>
  <c r="F16" i="1" l="1"/>
  <c r="F17" i="1" s="1"/>
  <c r="F18" i="1" s="1" a="1"/>
  <c r="F18" i="1" s="1"/>
  <c r="H18" i="1" s="1"/>
  <c r="F19" i="1" l="1"/>
  <c r="F20" i="1" l="1" a="1"/>
  <c r="F20" i="1" s="1"/>
  <c r="H20" i="1" l="1"/>
  <c r="F21" i="1" a="1"/>
  <c r="F21" i="1" s="1"/>
  <c r="H21" i="1" l="1"/>
  <c r="F22" i="1"/>
  <c r="F23" i="1" s="1" a="1"/>
  <c r="F23" i="1" s="1"/>
  <c r="H23" i="1" l="1"/>
  <c r="F24" i="1"/>
  <c r="F25" i="1" s="1"/>
  <c r="F26" i="1" s="1"/>
  <c r="F27" i="1" s="1"/>
  <c r="F28" i="1" s="1"/>
  <c r="F29" i="1" s="1" a="1"/>
  <c r="F29" i="1" s="1"/>
  <c r="F30" i="1" s="1" a="1"/>
  <c r="F30" i="1" s="1"/>
  <c r="B2" i="3" s="1"/>
  <c r="E2" i="3" s="1"/>
  <c r="F2" i="3" s="1"/>
  <c r="G2" i="3" s="1"/>
  <c r="H29" i="1" l="1"/>
  <c r="H3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<sst xmlns="http://schemas.openxmlformats.org/spreadsheetml/2006/main" count="122" uniqueCount="72">
  <si>
    <t>SEED</t>
  </si>
  <si>
    <t>KEY</t>
  </si>
  <si>
    <t>NAND</t>
  </si>
  <si>
    <t>XOR</t>
  </si>
  <si>
    <t>&gt;</t>
  </si>
  <si>
    <t>AND</t>
  </si>
  <si>
    <t>v</t>
  </si>
  <si>
    <t>^</t>
  </si>
  <si>
    <t>`</t>
  </si>
  <si>
    <t>NOT</t>
  </si>
  <si>
    <t>XNOR</t>
  </si>
  <si>
    <t>DEVICE_NAME</t>
  </si>
  <si>
    <t>DEVICE_ID</t>
  </si>
  <si>
    <t>FILE_NAME</t>
  </si>
  <si>
    <t>COPIES</t>
  </si>
  <si>
    <t>STATUS</t>
  </si>
  <si>
    <t>ACTION</t>
  </si>
  <si>
    <t>CHET_LAPTOP</t>
  </si>
  <si>
    <t>wanted_poster.pdf</t>
  </si>
  <si>
    <t>WABASH_RULEZ</t>
  </si>
  <si>
    <t>GI_Session_55.pptx</t>
  </si>
  <si>
    <t>CELEBRATIONSHEETS.pdf</t>
  </si>
  <si>
    <t>PAGES</t>
  </si>
  <si>
    <t>i_luv_yogurt</t>
  </si>
  <si>
    <t>Shostakovich_sheets.pdf</t>
  </si>
  <si>
    <t>FORGODSSAKEITSNOTPRONOUNCEDNYEW</t>
  </si>
  <si>
    <t>FHD_Pharm_Slides.pptx</t>
  </si>
  <si>
    <t>its-spelled-with-two-as</t>
  </si>
  <si>
    <t>Bball_positions.png</t>
  </si>
  <si>
    <t>steadfast-will</t>
  </si>
  <si>
    <t>lol</t>
  </si>
  <si>
    <t>Its_Goin</t>
  </si>
  <si>
    <t>MESSAGE</t>
  </si>
  <si>
    <t>Resident_Woodsman-25</t>
  </si>
  <si>
    <t>AnKingV11.apkg</t>
  </si>
  <si>
    <t>not_ren</t>
  </si>
  <si>
    <t>whoops-late-again</t>
  </si>
  <si>
    <t>clash_troll.png</t>
  </si>
  <si>
    <t>MARATHON_CHAMP</t>
  </si>
  <si>
    <t>route.png</t>
  </si>
  <si>
    <t>lpsquatter</t>
  </si>
  <si>
    <t>fantasyreflections.docx</t>
  </si>
  <si>
    <t>jasoc_ophth.pdf</t>
  </si>
  <si>
    <t>jasoc_uber_receipt.pdf</t>
  </si>
  <si>
    <t>merry-go-round-score.mscz</t>
  </si>
  <si>
    <t>banyanmaster</t>
  </si>
  <si>
    <t>AMWArep</t>
  </si>
  <si>
    <t>smoothie_inv.pdf</t>
  </si>
  <si>
    <t>ISMA-report-2025.pdf</t>
  </si>
  <si>
    <t>mc_coords.xlsx</t>
  </si>
  <si>
    <t>ops.xlsx</t>
  </si>
  <si>
    <t>export.xlsx</t>
  </si>
  <si>
    <t>infinite-recursion</t>
  </si>
  <si>
    <t>outofideas.docx</t>
  </si>
  <si>
    <t>wellness_plans.xlsx</t>
  </si>
  <si>
    <t>otome_player</t>
  </si>
  <si>
    <t>final_tally.txt</t>
  </si>
  <si>
    <t>PATH_prof</t>
  </si>
  <si>
    <t>ROBBINS_BASIC_ed10.pdf</t>
  </si>
  <si>
    <t>GI_Session_72.pptx</t>
  </si>
  <si>
    <t>sac_form.pdf</t>
  </si>
  <si>
    <t>custom_script_final_FINAL_v2.pdf</t>
  </si>
  <si>
    <t>meta_analysis.docx</t>
  </si>
  <si>
    <t>imthedemonyep</t>
  </si>
  <si>
    <t>eota_lineup.docx</t>
  </si>
  <si>
    <t>&lt;UNKNOWN&gt;</t>
  </si>
  <si>
    <t>hotpotcontrib.xlsx</t>
  </si>
  <si>
    <t>bassline.msc</t>
  </si>
  <si>
    <t>STATIC</t>
  </si>
  <si>
    <t>VAR1</t>
  </si>
  <si>
    <t>VAR2</t>
  </si>
  <si>
    <t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</si>
</sst>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1"/>
      <color theme="0" tint="-4.9989318521683403E-2"/>
      <name val="Aptos Narrow"/>
      <family val="2"/>
      <scheme val="minor"/>
    </font>
    <font>
      <sz val="11"/>
      <color theme="0" tint="-4.9989318521683403E-2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4" borderId="0" xfId="0" applyFill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4" borderId="0" xfId="0" applyFill="1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0" fillId="2" borderId="0" xfId="0" applyFill="1"/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center"/>
    </xf>
    <xf numFmtId="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7" borderId="1" xfId="0" applyFont="1" applyFill="1" applyBorder="1"/>
    <xf numFmtId="0" fontId="0" fillId="7" borderId="1" xfId="0" applyFill="1" applyBorder="1"/>
    <xf numFmtId="0" fontId="7" fillId="6" borderId="1" xfId="0" applyFont="1" applyFill="1" applyBorder="1"/>
    <xf numFmtId="0" fontId="2" fillId="7" borderId="1" xfId="0" applyFont="1" applyFill="1" applyBorder="1"/>
    <xf numFmtId="0" fontId="1" fillId="4" borderId="0" xfId="0" applyFont="1" applyFill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18" xfId="0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center" vertical="center"/>
    </xf>
    <xf numFmtId="0" fontId="2" fillId="5" borderId="20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2" fillId="5" borderId="16" xfId="0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 wrapText="1"/>
    </xf>
    <xf numFmtId="0" fontId="0" fillId="8" borderId="1" xfId="0" applyFill="1" applyBorder="1" applyProtection="1">
      <protection locked="0"/>
    </xf>
    <xf numFmtId="0" fontId="2" fillId="3" borderId="18" xfId="0" applyFont="1" applyFill="1" applyBorder="1" applyAlignment="1" applyProtection="1">
      <alignment horizontal="center" vertical="center"/>
      <protection locked="0"/>
    </xf>
    <xf numFmtId="0" fontId="2" fillId="3" borderId="20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4A2A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 tint="0.34998626667073579"/>
      </font>
      <fill>
        <patternFill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4A2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66307-E338-4C89-970C-FE09627FF96A}">
  <dimension ref="A1:Z31"/>
  <sheetViews>
    <sheetView workbookViewId="0">
      <selection activeCell="G2" sqref="G2"/>
    </sheetView>
  </sheetViews>
  <sheetFormatPr defaultRowHeight="15" x14ac:dyDescent="0.25"/>
  <cols>
    <col min="1" max="1" width="40.5703125" style="22" customWidth="1"/>
    <col min="2" max="2" width="16.28515625" style="22" customWidth="1"/>
    <col min="3" max="3" width="31" style="22" customWidth="1"/>
    <col min="4" max="4" width="8.85546875" style="22" customWidth="1"/>
    <col min="5" max="5" width="9.140625" style="22"/>
    <col min="6" max="6" width="18.5703125" style="22" customWidth="1"/>
    <col min="7" max="7" width="12.140625" style="22" customWidth="1"/>
    <col min="8" max="8" width="86.7109375" style="22" customWidth="1"/>
    <col min="9" max="10" width="9.140625" style="22"/>
    <col min="11" max="11" width="13.7109375" style="22" customWidth="1"/>
    <col min="12" max="16384" width="9.140625" style="22"/>
  </cols>
  <sheetData>
    <row r="1" spans="1:8" s="21" customFormat="1" x14ac:dyDescent="0.25">
      <c r="A1" s="23" t="s">
        <v>11</v>
      </c>
      <c r="B1" s="23" t="s">
        <v>12</v>
      </c>
      <c r="C1" s="23" t="s">
        <v>13</v>
      </c>
      <c r="D1" s="23" t="s">
        <v>22</v>
      </c>
      <c r="E1" s="23" t="s">
        <v>14</v>
      </c>
      <c r="F1" s="23" t="s">
        <v>15</v>
      </c>
      <c r="G1" s="23" t="s">
        <v>16</v>
      </c>
      <c r="H1" s="23" t="s">
        <v>32</v>
      </c>
    </row>
    <row r="2" spans="1:8" x14ac:dyDescent="0.25">
      <c r="A2" s="24" t="s">
        <v>30</v>
      </c>
      <c r="B2" s="22">
        <v>74408819</v>
      </c>
      <c r="C2" s="22" t="s">
        <v>21</v>
      </c>
      <c r="D2" s="22">
        <v>13</v>
      </c>
      <c r="E2" s="22">
        <v>3</v>
      </c>
      <c r="F2" s="22" t="str">
        <f>IF(G2="RESTART","COMPLETE","UNRESPONSIVE")</f>
        <v>UNRESPONSIVE</v>
      </c>
      <c r="G2" s="56"/>
      <c r="H2" s="22" t="str">
        <f>IF(F2="UNRESPONSIVE","Unknown error","")</f>
        <v>Unknown error</v>
      </c>
    </row>
    <row r="3" spans="1:8" x14ac:dyDescent="0.25">
      <c r="A3" s="24" t="s">
        <v>31</v>
      </c>
      <c r="B3" s="22">
        <v>38064592</v>
      </c>
      <c r="C3" s="22" t="s">
        <v>20</v>
      </c>
      <c r="D3" s="22">
        <v>20</v>
      </c>
      <c r="E3" s="22">
        <v>1</v>
      </c>
      <c r="F3" s="22" t="str">
        <f>IF(F2="COMPLETE","COMPLETE","PENDING")</f>
        <v>PENDING</v>
      </c>
      <c r="G3" s="56"/>
    </row>
    <row r="4" spans="1:8" x14ac:dyDescent="0.25">
      <c r="A4" s="24" t="s">
        <v>19</v>
      </c>
      <c r="B4" s="22">
        <v>28985653</v>
      </c>
      <c r="C4" s="22" t="s">
        <v>42</v>
      </c>
      <c r="D4" s="22">
        <v>1</v>
      </c>
      <c r="E4" s="22">
        <v>20</v>
      </c>
      <c r="F4" s="22" t="str">
        <f t="shared" ref="F4:F28" si="0">IF(F3="COMPLETE","COMPLETE","PENDING")</f>
        <v>PENDING</v>
      </c>
      <c r="G4" s="56"/>
    </row>
    <row r="5" spans="1:8" x14ac:dyDescent="0.25">
      <c r="A5" s="24" t="s">
        <v>23</v>
      </c>
      <c r="B5" s="22">
        <v>39151350</v>
      </c>
      <c r="C5" s="22" t="s">
        <v>24</v>
      </c>
      <c r="D5" s="22">
        <v>9</v>
      </c>
      <c r="E5" s="22">
        <v>1</v>
      </c>
      <c r="F5" s="22" t="str">
        <f t="shared" si="0"/>
        <v>PENDING</v>
      </c>
      <c r="G5" s="56"/>
    </row>
    <row r="6" spans="1:8" x14ac:dyDescent="0.25">
      <c r="A6" s="24" t="s">
        <v>17</v>
      </c>
      <c r="B6" s="22">
        <v>14263083</v>
      </c>
      <c r="C6" s="22" t="s">
        <v>18</v>
      </c>
      <c r="D6" s="22">
        <v>1</v>
      </c>
      <c r="E6" s="22">
        <v>10</v>
      </c>
      <c r="F6" s="22" t="str">
        <f t="shared" si="0"/>
        <v>PENDING</v>
      </c>
      <c r="G6" s="56"/>
    </row>
    <row r="7" spans="1:8" x14ac:dyDescent="0.25">
      <c r="A7" s="24" t="s">
        <v>25</v>
      </c>
      <c r="B7" s="22">
        <v>21334178</v>
      </c>
      <c r="C7" s="22" t="s">
        <v>26</v>
      </c>
      <c r="D7" s="22">
        <v>20</v>
      </c>
      <c r="E7" s="22">
        <v>4</v>
      </c>
      <c r="F7" s="22" t="str">
        <f t="shared" si="0"/>
        <v>PENDING</v>
      </c>
      <c r="G7" s="56"/>
    </row>
    <row r="8" spans="1:8" x14ac:dyDescent="0.25">
      <c r="A8" s="24" t="s">
        <v>29</v>
      </c>
      <c r="B8" s="22">
        <v>63008963</v>
      </c>
      <c r="C8" s="22" t="s">
        <v>67</v>
      </c>
      <c r="D8" s="22">
        <v>3</v>
      </c>
      <c r="E8" s="22">
        <v>1</v>
      </c>
      <c r="F8" s="22" t="str" cm="1">
        <f t="array" ref="F8">_xlfn.IFS(AND(F7="COMPLETE",G8="SKIP"),"CANCELED",F7="PENDING","PENDING",AND(F7="COMPLETE",NOT(G8="SKIP")),"UNRESPONSIVE")</f>
        <v>PENDING</v>
      </c>
      <c r="G8" s="56"/>
      <c r="H8" s="22" t="str">
        <f>IF(F8="UNRESPONSIVE","Unrecognized file type","")</f>
        <v/>
      </c>
    </row>
    <row r="9" spans="1:8" x14ac:dyDescent="0.25">
      <c r="A9" s="24" t="s">
        <v>33</v>
      </c>
      <c r="B9" s="22">
        <v>12665439</v>
      </c>
      <c r="C9" s="22" t="s">
        <v>34</v>
      </c>
      <c r="D9" s="22">
        <v>31576</v>
      </c>
      <c r="E9" s="22">
        <v>1</v>
      </c>
      <c r="F9" s="22" t="str" cm="1">
        <f t="array" ref="F9">_xlfn.IFS(AND(F8="CANCELED",G9="TRUNCATE"),"COMPLETE",OR(F8="PENDING",F8="UNRESPONSIVE"),"PENDING",AND(F8="CANCELED",NOT(G9="TRUNCATE")),"UNRESPONSIVE")</f>
        <v>PENDING</v>
      </c>
      <c r="G9" s="56"/>
      <c r="H9" s="22" t="str">
        <f>IF(F9="UNRESPONSIVE","File too large!","")</f>
        <v/>
      </c>
    </row>
    <row r="10" spans="1:8" x14ac:dyDescent="0.25">
      <c r="A10" s="24" t="s">
        <v>27</v>
      </c>
      <c r="B10" s="22">
        <v>82603635</v>
      </c>
      <c r="C10" s="22" t="s">
        <v>28</v>
      </c>
      <c r="D10" s="22">
        <v>1</v>
      </c>
      <c r="E10" s="22">
        <v>1</v>
      </c>
      <c r="F10" s="22" t="str">
        <f t="shared" si="0"/>
        <v>PENDING</v>
      </c>
      <c r="G10" s="56"/>
    </row>
    <row r="11" spans="1:8" x14ac:dyDescent="0.25">
      <c r="A11" s="24" t="s">
        <v>35</v>
      </c>
      <c r="B11" s="22">
        <v>36607214</v>
      </c>
      <c r="C11" s="22" t="s">
        <v>43</v>
      </c>
      <c r="D11" s="22">
        <v>7</v>
      </c>
      <c r="E11" s="22">
        <v>1</v>
      </c>
      <c r="F11" s="22" t="str">
        <f t="shared" si="0"/>
        <v>PENDING</v>
      </c>
      <c r="G11" s="56"/>
    </row>
    <row r="12" spans="1:8" x14ac:dyDescent="0.25">
      <c r="A12" s="24" t="s">
        <v>38</v>
      </c>
      <c r="B12" s="22">
        <v>68253724</v>
      </c>
      <c r="C12" s="22" t="s">
        <v>39</v>
      </c>
      <c r="D12" s="22">
        <v>1</v>
      </c>
      <c r="E12" s="22">
        <v>1</v>
      </c>
      <c r="F12" s="22" t="str">
        <f t="shared" si="0"/>
        <v>PENDING</v>
      </c>
      <c r="G12" s="56"/>
    </row>
    <row r="13" spans="1:8" x14ac:dyDescent="0.25">
      <c r="A13" s="24" t="s">
        <v>40</v>
      </c>
      <c r="B13" s="22">
        <v>71290508</v>
      </c>
      <c r="C13" s="22" t="s">
        <v>41</v>
      </c>
      <c r="D13" s="22">
        <v>3</v>
      </c>
      <c r="E13" s="22">
        <v>1</v>
      </c>
      <c r="F13" s="22" t="str">
        <f t="shared" si="0"/>
        <v>PENDING</v>
      </c>
      <c r="G13" s="56"/>
    </row>
    <row r="14" spans="1:8" x14ac:dyDescent="0.25">
      <c r="A14" s="24" t="s">
        <v>36</v>
      </c>
      <c r="B14" s="22">
        <v>36739011</v>
      </c>
      <c r="C14" s="22" t="s">
        <v>37</v>
      </c>
      <c r="D14" s="22">
        <v>1</v>
      </c>
      <c r="E14" s="22">
        <v>1</v>
      </c>
      <c r="F14" s="22" t="str">
        <f t="shared" si="0"/>
        <v>PENDING</v>
      </c>
      <c r="G14" s="56"/>
    </row>
    <row r="15" spans="1:8" x14ac:dyDescent="0.25">
      <c r="A15" s="24" t="s">
        <v>45</v>
      </c>
      <c r="B15" s="22">
        <v>15087145</v>
      </c>
      <c r="C15" s="22" t="s">
        <v>44</v>
      </c>
      <c r="D15" s="22">
        <v>4</v>
      </c>
      <c r="E15" s="22">
        <v>1</v>
      </c>
      <c r="F15" s="22" t="str" cm="1">
        <f t="array" ref="F15">_xlfn.IFS(AND(F14="COMPLETE",G15="TRANSCODE"),"COMPLETE",F14="PENDING","PENDING",AND(F14="COMPLETE",NOT(G15="TRANSCODE")),"UNRESPONSIVE")</f>
        <v>PENDING</v>
      </c>
      <c r="G15" s="56"/>
      <c r="H15" s="22" t="str">
        <f>IF(F15="UNRESPONSIVE","Unknown glyph at line 89. Aborting…","")</f>
        <v/>
      </c>
    </row>
    <row r="16" spans="1:8" x14ac:dyDescent="0.25">
      <c r="A16" s="24" t="s">
        <v>46</v>
      </c>
      <c r="B16" s="22">
        <v>25323923</v>
      </c>
      <c r="C16" s="22" t="s">
        <v>47</v>
      </c>
      <c r="D16" s="22">
        <v>5</v>
      </c>
      <c r="E16" s="22">
        <v>1</v>
      </c>
      <c r="F16" s="22" t="str">
        <f t="shared" si="0"/>
        <v>PENDING</v>
      </c>
      <c r="G16" s="56"/>
    </row>
    <row r="17" spans="1:26" x14ac:dyDescent="0.25">
      <c r="A17" s="24" t="s">
        <v>35</v>
      </c>
      <c r="B17" s="22">
        <v>39205838</v>
      </c>
      <c r="C17" s="22" t="s">
        <v>48</v>
      </c>
      <c r="D17" s="22">
        <v>12</v>
      </c>
      <c r="E17" s="22">
        <v>1</v>
      </c>
      <c r="F17" s="22" t="str">
        <f t="shared" si="0"/>
        <v>PENDING</v>
      </c>
      <c r="G17" s="56"/>
    </row>
    <row r="18" spans="1:26" x14ac:dyDescent="0.25">
      <c r="A18" s="24" t="s">
        <v>19</v>
      </c>
      <c r="B18" s="22">
        <v>18223285</v>
      </c>
      <c r="C18" s="22" t="s">
        <v>50</v>
      </c>
      <c r="D18" s="22">
        <v>1</v>
      </c>
      <c r="E18" s="22">
        <v>1</v>
      </c>
      <c r="F18" s="22" t="str" cm="1">
        <f t="array" ref="F18">_xlfn.IFS(AND(F17="COMPLETE",G18="SKIP"),"CANCELED",F17="PENDING","PENDING",AND(F17="COMPLETE",NOT(G18="SKIP")),"UNRESPONSIVE")</f>
        <v>PENDING</v>
      </c>
      <c r="G18" s="56"/>
      <c r="H18" s="22" t="str">
        <f>IF(F18="UNRESPONSIVE","System.FILTER.exception: Risky content detected. Terminating...","")</f>
        <v/>
      </c>
    </row>
    <row r="19" spans="1:26" x14ac:dyDescent="0.25">
      <c r="A19" s="24" t="s">
        <v>30</v>
      </c>
      <c r="B19" s="22">
        <v>96943707</v>
      </c>
      <c r="C19" s="22" t="s">
        <v>64</v>
      </c>
      <c r="D19" s="22">
        <v>1</v>
      </c>
      <c r="E19" s="22">
        <v>1</v>
      </c>
      <c r="F19" s="22" t="str">
        <f>IF(F18="CANCELED","COMPLETE","PENDING")</f>
        <v>PENDING</v>
      </c>
      <c r="G19" s="56"/>
    </row>
    <row r="20" spans="1:26" x14ac:dyDescent="0.25">
      <c r="A20" s="24" t="s">
        <v>29</v>
      </c>
      <c r="B20" s="22">
        <v>78297484</v>
      </c>
      <c r="C20" s="22" t="s">
        <v>49</v>
      </c>
      <c r="D20" s="22">
        <v>2</v>
      </c>
      <c r="E20" s="22">
        <v>2</v>
      </c>
      <c r="F20" s="22" t="str" cm="1">
        <f t="array" ref="F20">_xlfn.IFS(AND(F19="COMPLETE",G20="RESTART"),"COMPLETE",F19="PENDING","PENDING",AND(F19="COMPLETE",NOT(G20="RESTART")),"UNRESPONSIVE")</f>
        <v>PENDING</v>
      </c>
      <c r="G20" s="56"/>
      <c r="H20" s="22" t="str">
        <f>IF(F20="UNRESPONSIVE","Bitflip error","")</f>
        <v/>
      </c>
    </row>
    <row r="21" spans="1:26" x14ac:dyDescent="0.25">
      <c r="A21" s="24" t="s">
        <v>52</v>
      </c>
      <c r="B21" s="22">
        <v>67780822</v>
      </c>
      <c r="C21" s="22" t="s">
        <v>51</v>
      </c>
      <c r="D21" s="22">
        <v>1</v>
      </c>
      <c r="E21" s="22">
        <v>1</v>
      </c>
      <c r="F21" s="22" t="str" cm="1">
        <f t="array" ref="F21">_xlfn.IFS(AND(F20="COMPLETE",G21="SKIP"),"CANCELED",OR(F20="PENDING",F20="UNRESPONSIVE"),"PENDING",AND(F20="COMPLETE",NOT(G21="SKIP")),"UNRESPONSIVE")</f>
        <v>PENDING</v>
      </c>
      <c r="G21" s="56"/>
      <c r="H21" s="22" t="str">
        <f>IF(F21="UNRESPONSIVE",_xlfn._LONGTEXT("Ấ̷̡̡̨̢̤͔͎̜̥̟̫͔̮͉͚̥͙̮͎͑̋́͂̽͆͗H̷̭͓̭̟͙͈̝̟͉͎̜͉̘̄̂̽́͒̉̃͒̽̂̐̿͘͜͠Ȟ̵̼̼͉̫̜̩̪̩̙̲͈̲͔̫͚̞̤̺͑̎͛͝Ḥ̷̨̡̨̙̮̖̣̲͛̃́̈͒̊͑̏̀̇̌͒̈́̈̀̈̆H̴̛͍̜̞̻͕̮̳̺̰̹̻̥̤͌̀̒̿̇̎́͒̌̓̄̉͊̚͝͝H̴͙̯͕̗̖͎̼̖̬͍́̀͌͌̆̂͂̈́͂͗̈͗̔̊̈̋͊̈́̽̕ ̴̧̨̡̱͙̫͖͉̼͇͇̮̯͔̯͈͚̖͚̥̈̈́̈́̒̌͒̈́̂̈͂̓̀̚̚͠M̶̡͖̜̣̞͙̯̮̃͘͜ͅŸ̶͖̰̗̙̣̣̝̝̂̑ ̸̧̨̫̣̤͕̞̻̝̏̾͝","̩̠̩̯̦̝̹̰̪̠͕̘̟H̶̛͙͉̪̤̟̜̱̝̊̃͐̈̎̈́̋̈́̒̀̾̽̈́̊̕͜͝͠Ę̴̛̫͍̜͕̥͚̫͕̳̱̬̤̤̩̗̦̲̼̹̑̔̇͐̿͋͂͒̃͝Å̷̡̜͇̝͍̲̗̫͖̭͔͍̙̲̗̒̇̏̑̓͆͑͆̈̍͑̑̓͊͜͜͝͝͠͝͝͝D̷̛̤̟͇͍͔̦͈̥̲͇̪͓͇̮̑̾̈̀̐̒̆̓͜ ̶̡̡̳̈́͋̐͋̓̎̀͗̽͝H̷̨̧͓̊̐̔͊̎͊͐͌̈́̿̄͗̏͋͋̑̋͐̐͠͝U̶̡͎̪̫̖͍̮͈͌̃̈́̓̍͒̾̍͑̚͠Ŗ̷̛̯̭͓̝̪̰͎̪̣̥̤̈́̏̉̿̀͑̀̆̆̔Ṱ̴̯͙̝̺̟̥̻͈͓̬́̆̔̈̽̐̊͂̿͆͌͘̚͝","̢S̷̨̩̠̜̹̞̰̘̦̮͚͐͗̆̂̇ ̴̛͍̮̫͎͚͍̱̭̠M̵̡̡̛̱̲̱͙̒͋̈̉͆̐̈́̍̈́̅͒̀͂͒͝͝A̸̧̢̨̰̙̯̘͕̹̤͕̪͍̪̲͐̇̍͊̈̃̀͂̐̀̂͗ͅĶ̴̢̧̛̝̘̪̥̖̱̺̼̩̻̤̻͙̦̑͊̍͒̔̃̓͗̽̈́̈́̅́̈̊̐̉̈́̕͜͝É̴̡̹̺͖̳̱̯͎̦̅̌̎̀͒͊̓͊̂ ̷̨̡̯͇͎̞̫̱̫̭̦̮͎͉̼̯͍̑̇̓̓́͒͊̃̏̑̄̃̀͝͝͝Ì̵̛̖̹̝̖͉̫̪͉̖̪͎̣̘̮̓̀͂̋͊̓̈̓̿̅́̾̊͝͝T̵̨̞̜̘̜̳͙̞̮̦̔́̇̔ ̸̡̡̡̥̖̼̘̝͉̰̼̟̬̳̘̞͍͆̽S̵","̨̪̳̭̥̼͕̘͖͈̫̺̑͐̽̉̇̍̂̾̀͛̊͝͝͝Ţ̷̬̓̔̈̍̈́͌̋̇̍͘͝O̵̠̦̲̞͓̖̣͇̟̓̿̈̊̓̂́͛͆͂̎͗̓̿̊͠O̸̡̨̤̤̪̯̰̤͙̰̪̺͍̙̮̤̝͆̑̕̕͠͝ͅO̷̢̲̩̦̜̘̬͔͎̣̦̻̟̙̺͊ͅP̶͈̦̬̫̟͑̋̉̆͂͛͊͑́̒̎̈́͋̅̋͆͂̊̅͋̅͝P̸̡͔̓͐̂̌̃͂͒́͛͋͗̒̿͑͛͆̏̚̕̚͜ͅP̵̨̧̟̱̮̪͈͓̤̟̭̲͍͙̾͂̔͒́̿͊̔̑͑͘͠P̸̛͙̟̪̦̩̞̥͇͎̮̙͙̼̰͈̠̳̜̒͑́̄̄͂͛̑͛̈́̿̈́̽̌́͛͌͜͝͝P̷̭̭̫̭͎͓̤̏̀̎̓̅̊͒̂͠","̨̢̡̬̟̰͔̫͕͜P̶̨̪̟͚̜͖̯̥͈̒̏̾͊͒̏̓̋͊͌̏̄̒̋́̉̉͘͜͠P̵̰͕̲̦̞̹͔̮̅̆̂̈́̐͋͛̇͂͋͒̈̈̈́̋͘̚͠͝͠͝͝"),"")</f>
        <v/>
      </c>
    </row>
    <row r="22" spans="1:26" x14ac:dyDescent="0.25">
      <c r="A22" s="24" t="s">
        <v>55</v>
      </c>
      <c r="B22" s="22">
        <v>27079507</v>
      </c>
      <c r="C22" s="22" t="s">
        <v>56</v>
      </c>
      <c r="D22" s="22">
        <v>1</v>
      </c>
      <c r="E22" s="22">
        <v>1</v>
      </c>
      <c r="F22" s="22" t="str">
        <f>IF(F21="CANCELED","COMPLETE","PENDING")</f>
        <v>PENDING</v>
      </c>
      <c r="G22" s="56"/>
    </row>
    <row r="23" spans="1:26" x14ac:dyDescent="0.25">
      <c r="A23" s="24" t="s">
        <v>57</v>
      </c>
      <c r="B23" s="22">
        <v>84302906</v>
      </c>
      <c r="C23" s="22" t="s">
        <v>58</v>
      </c>
      <c r="D23" s="22">
        <v>952</v>
      </c>
      <c r="E23" s="22">
        <v>1</v>
      </c>
      <c r="F23" s="22" t="str" cm="1">
        <f t="array" ref="F23">_xlfn.IFS(AND(F22="COMPLETE",G23="TRUNCATE"),"COMPLETE",F22="PENDING","PENDING",AND(F22="COMPLETE",NOT(G23="TRUNCATE")),"SUSPENDED")</f>
        <v>PENDING</v>
      </c>
      <c r="G23" s="56"/>
      <c r="H23" s="22" t="str">
        <f>IF(F23="SUSPENDED","Not enough paper to complete job, load more paper!","")</f>
        <v/>
      </c>
    </row>
    <row r="24" spans="1:26" x14ac:dyDescent="0.25">
      <c r="A24" s="24" t="s">
        <v>23</v>
      </c>
      <c r="B24" s="22">
        <v>26312342</v>
      </c>
      <c r="C24" s="22" t="s">
        <v>54</v>
      </c>
      <c r="D24" s="22">
        <v>2</v>
      </c>
      <c r="E24" s="22">
        <v>2</v>
      </c>
      <c r="F24" s="22" t="str">
        <f t="shared" si="0"/>
        <v>PENDING</v>
      </c>
      <c r="G24" s="56"/>
    </row>
    <row r="25" spans="1:26" x14ac:dyDescent="0.25">
      <c r="A25" s="24" t="s">
        <v>38</v>
      </c>
      <c r="B25" s="22">
        <v>13873101</v>
      </c>
      <c r="C25" s="22" t="s">
        <v>60</v>
      </c>
      <c r="D25" s="22">
        <v>3</v>
      </c>
      <c r="E25" s="22">
        <v>1</v>
      </c>
      <c r="F25" s="22" t="str">
        <f t="shared" si="0"/>
        <v>PENDING</v>
      </c>
      <c r="G25" s="56"/>
    </row>
    <row r="26" spans="1:26" x14ac:dyDescent="0.25">
      <c r="A26" s="24" t="s">
        <v>40</v>
      </c>
      <c r="B26" s="22">
        <v>49024483</v>
      </c>
      <c r="C26" s="22" t="s">
        <v>61</v>
      </c>
      <c r="D26" s="22">
        <v>1</v>
      </c>
      <c r="E26" s="22">
        <v>10</v>
      </c>
      <c r="F26" s="22" t="str">
        <f t="shared" si="0"/>
        <v>PENDING</v>
      </c>
      <c r="G26" s="56"/>
    </row>
    <row r="27" spans="1:26" x14ac:dyDescent="0.25">
      <c r="A27" s="24" t="s">
        <v>63</v>
      </c>
      <c r="B27" s="22">
        <v>53098942</v>
      </c>
      <c r="C27" s="22" t="s">
        <v>62</v>
      </c>
      <c r="D27" s="22">
        <v>12</v>
      </c>
      <c r="E27" s="22">
        <v>1</v>
      </c>
      <c r="F27" s="22" t="str">
        <f t="shared" si="0"/>
        <v>PENDING</v>
      </c>
      <c r="G27" s="56"/>
    </row>
    <row r="28" spans="1:26" x14ac:dyDescent="0.25">
      <c r="A28" s="24" t="s">
        <v>30</v>
      </c>
      <c r="B28" s="22">
        <v>35952996</v>
      </c>
      <c r="C28" s="22" t="s">
        <v>66</v>
      </c>
      <c r="D28" s="22">
        <v>1</v>
      </c>
      <c r="E28" s="22">
        <v>1</v>
      </c>
      <c r="F28" s="22" t="str">
        <f t="shared" si="0"/>
        <v>PENDING</v>
      </c>
      <c r="G28" s="56"/>
    </row>
    <row r="29" spans="1:26" x14ac:dyDescent="0.25">
      <c r="A29" s="24" t="s">
        <v>65</v>
      </c>
      <c r="B29" s="22">
        <v>34687704</v>
      </c>
      <c r="C29" s="22" t="s">
        <v>53</v>
      </c>
      <c r="D29" s="22">
        <v>99</v>
      </c>
      <c r="E29" s="22">
        <v>99</v>
      </c>
      <c r="F29" s="22" t="str" cm="1">
        <f t="array" ref="F29">_xlfn.IFS(AND(F28="COMPLETE",G29="SKIP"),"CANCELED",OR(F28="PENDING",F28="UNRESPONSIVE"),"PENDING",AND(F28="COMPLETE",NOT(G29="SKIP")),"UNRESPONSIVE")</f>
        <v>PENDING</v>
      </c>
      <c r="G29" s="56"/>
      <c r="H29" s="22" t="str">
        <f>IF(F29="UNRESPONSIVE","I'm throwing this error just cause :3","")</f>
        <v/>
      </c>
    </row>
    <row r="30" spans="1:26" x14ac:dyDescent="0.25">
      <c r="A30" s="24" t="s">
        <v>31</v>
      </c>
      <c r="B30" s="22">
        <v>59548484</v>
      </c>
      <c r="C30" s="22" t="s">
        <v>59</v>
      </c>
      <c r="D30" s="22">
        <v>52</v>
      </c>
      <c r="E30" s="22">
        <v>1</v>
      </c>
      <c r="F30" s="22" t="str" cm="1">
        <f t="array" ref="F30">_xlfn.IFS(AND(F29="CANCELED",Circuit!BD7="ACCESS GRANTED"),"COMPLETE",OR(F29="PENDING",F29="UNRESPONSIVE"),"PENDING",AND(F29="CANCELED",NOT(Circuit!BD7="ACCESS GRANTED")),"UNRESPONSIVE")</f>
        <v>PENDING</v>
      </c>
      <c r="G30" s="56"/>
      <c r="H30" s="22" t="str">
        <f>IF(F30="UNRESPONSIVE","Hardware error: contact your local technician or electrical engineer for additional support","")</f>
        <v/>
      </c>
    </row>
    <row r="31" spans="1:26" x14ac:dyDescent="0.25">
      <c r="Z31" s="22">
        <f>CODE("S")</f>
        <v>83</v>
      </c>
    </row>
  </sheetData>
  <sheetProtection algorithmName="SHA-512" hashValue="v61xArVWscNkUGrEyXsPRx/yZIX3+qlCbGFCOsefd+8SZVkL+V+SxtWFs4E9OsNy2Q846jT0rrdhFPHkJIFIOQ==" saltValue="HoGO6n4nnok81tAPnHBrpA==" spinCount="100000" sheet="1" objects="1" scenarios="1" selectLockedCells="1"/>
  <conditionalFormatting sqref="F1:F1048576">
    <cfRule type="cellIs" dxfId="9" priority="2" operator="equal">
      <formula>"PENDING"</formula>
    </cfRule>
    <cfRule type="cellIs" dxfId="8" priority="3" operator="equal">
      <formula>"SUSPENDED"</formula>
    </cfRule>
    <cfRule type="cellIs" dxfId="7" priority="4" operator="equal">
      <formula>"UNRESPONSIVE"</formula>
    </cfRule>
    <cfRule type="cellIs" dxfId="6" priority="5" operator="equal">
      <formula>"CANCELED"</formula>
    </cfRule>
    <cfRule type="cellIs" dxfId="5" priority="6" operator="equal">
      <formula>"COMPLETE"</formula>
    </cfRule>
  </conditionalFormatting>
  <conditionalFormatting sqref="H2:H30">
    <cfRule type="notContainsBlanks" dxfId="4" priority="1">
      <formula>LEN(TRIM(H2))&gt;0</formula>
    </cfRule>
  </conditionalFormatting>
  <dataValidations count="1">
    <dataValidation type="list" allowBlank="1" showInputMessage="1" showErrorMessage="1" promptTitle="Actions" prompt="Select an action to resolve the error." sqref="G2:G30" xr:uid="{EFCC2306-C11B-4021-9648-02B947E86B4D}">
      <formula1>"TRANSCODE,TRUNCATE,SKIP,RESTART"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CFBB1-DD5C-436A-B081-D7F8AF343F97}">
  <dimension ref="A1:BQ33"/>
  <sheetViews>
    <sheetView tabSelected="1" workbookViewId="0">
      <selection activeCell="B2" sqref="B2:C2"/>
    </sheetView>
  </sheetViews>
  <sheetFormatPr defaultRowHeight="15" x14ac:dyDescent="0.25"/>
  <cols>
    <col min="1" max="99" width="2.7109375" style="1" customWidth="1"/>
    <col min="100" max="16384" width="9.140625" style="1"/>
  </cols>
  <sheetData>
    <row r="1" spans="1:69" ht="15.75" thickBot="1" x14ac:dyDescent="0.3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4"/>
    </row>
    <row r="2" spans="1:69" ht="15.75" thickBot="1" x14ac:dyDescent="0.3">
      <c r="A2" s="5"/>
      <c r="B2" s="57">
        <v>0</v>
      </c>
      <c r="C2" s="58"/>
      <c r="D2" s="6"/>
      <c r="F2" s="7" t="s">
        <v>4</v>
      </c>
      <c r="I2" s="26" t="s">
        <v>2</v>
      </c>
      <c r="J2" s="27"/>
      <c r="K2" s="28"/>
      <c r="L2" s="8"/>
      <c r="M2" s="8"/>
      <c r="N2" s="8"/>
      <c r="O2" s="8"/>
      <c r="P2" s="8"/>
      <c r="Q2" s="57">
        <v>1</v>
      </c>
      <c r="R2" s="58"/>
      <c r="U2" s="7" t="s">
        <v>4</v>
      </c>
      <c r="X2" s="35" t="s">
        <v>9</v>
      </c>
      <c r="Y2" s="36"/>
      <c r="Z2" s="37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9"/>
    </row>
    <row r="3" spans="1:69" ht="15.75" thickBot="1" x14ac:dyDescent="0.3">
      <c r="A3" s="5"/>
      <c r="B3" s="8"/>
      <c r="C3" s="8"/>
      <c r="D3" s="8"/>
      <c r="E3" s="8"/>
      <c r="F3" s="8"/>
      <c r="G3" s="8"/>
      <c r="H3" s="8"/>
      <c r="I3" s="29"/>
      <c r="J3" s="30"/>
      <c r="K3" s="31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10" t="s">
        <v>6</v>
      </c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9"/>
    </row>
    <row r="4" spans="1:69" ht="15.75" thickBot="1" x14ac:dyDescent="0.3">
      <c r="A4" s="5"/>
      <c r="B4" s="8"/>
      <c r="C4" s="8"/>
      <c r="D4" s="8"/>
      <c r="E4" s="8"/>
      <c r="F4" s="8"/>
      <c r="G4" s="8"/>
      <c r="H4" s="8"/>
      <c r="I4" s="29"/>
      <c r="J4" s="30"/>
      <c r="K4" s="31"/>
      <c r="N4" s="7" t="s">
        <v>4</v>
      </c>
      <c r="Q4" s="35" t="s">
        <v>9</v>
      </c>
      <c r="R4" s="36"/>
      <c r="S4" s="37"/>
      <c r="T4" s="8"/>
      <c r="U4" s="8"/>
      <c r="V4" s="8"/>
      <c r="W4" s="8"/>
      <c r="X4" s="8"/>
      <c r="AC4" s="7" t="s">
        <v>4</v>
      </c>
      <c r="AF4" s="26" t="s">
        <v>5</v>
      </c>
      <c r="AG4" s="27"/>
      <c r="AH4" s="2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9"/>
    </row>
    <row r="5" spans="1:69" ht="15.75" thickBot="1" x14ac:dyDescent="0.3">
      <c r="A5" s="5"/>
      <c r="B5" s="8"/>
      <c r="C5" s="8"/>
      <c r="D5" s="8"/>
      <c r="E5" s="8"/>
      <c r="F5" s="8"/>
      <c r="G5" s="8"/>
      <c r="H5" s="8"/>
      <c r="I5" s="29"/>
      <c r="J5" s="30"/>
      <c r="K5" s="31"/>
      <c r="L5" s="8"/>
      <c r="M5" s="8"/>
      <c r="N5" s="8"/>
      <c r="O5" s="8"/>
      <c r="P5" s="8"/>
      <c r="Q5" s="8"/>
      <c r="R5" s="10" t="s">
        <v>6</v>
      </c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29"/>
      <c r="AG5" s="30"/>
      <c r="AH5" s="31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9"/>
    </row>
    <row r="6" spans="1:69" ht="15.75" thickBot="1" x14ac:dyDescent="0.3">
      <c r="A6" s="5"/>
      <c r="B6" s="57">
        <v>0</v>
      </c>
      <c r="C6" s="58"/>
      <c r="D6" s="6"/>
      <c r="F6" s="7" t="s">
        <v>4</v>
      </c>
      <c r="I6" s="32"/>
      <c r="J6" s="33"/>
      <c r="K6" s="34"/>
      <c r="L6" s="8"/>
      <c r="M6" s="8"/>
      <c r="N6" s="8"/>
      <c r="O6" s="8"/>
      <c r="P6" s="8"/>
      <c r="Q6" s="8"/>
      <c r="U6" s="7" t="s">
        <v>4</v>
      </c>
      <c r="X6" s="26" t="s">
        <v>5</v>
      </c>
      <c r="Y6" s="27"/>
      <c r="Z6" s="28"/>
      <c r="AA6" s="8"/>
      <c r="AB6" s="8"/>
      <c r="AC6" s="8"/>
      <c r="AD6" s="8"/>
      <c r="AE6" s="8"/>
      <c r="AF6" s="29"/>
      <c r="AG6" s="30"/>
      <c r="AH6" s="31"/>
      <c r="AI6" s="6"/>
      <c r="AK6" s="7" t="s">
        <v>4</v>
      </c>
      <c r="AN6" s="26" t="s">
        <v>2</v>
      </c>
      <c r="AO6" s="27"/>
      <c r="AP6" s="2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9"/>
    </row>
    <row r="7" spans="1:69" ht="15.75" thickBot="1" x14ac:dyDescent="0.3">
      <c r="A7" s="5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29"/>
      <c r="Y7" s="30"/>
      <c r="Z7" s="31"/>
      <c r="AA7" s="8"/>
      <c r="AB7" s="8"/>
      <c r="AC7" s="8"/>
      <c r="AD7" s="8"/>
      <c r="AE7" s="8"/>
      <c r="AF7" s="29"/>
      <c r="AG7" s="30"/>
      <c r="AH7" s="31"/>
      <c r="AI7" s="8"/>
      <c r="AJ7" s="8"/>
      <c r="AK7" s="8"/>
      <c r="AL7" s="8"/>
      <c r="AM7" s="8"/>
      <c r="AN7" s="29"/>
      <c r="AO7" s="30"/>
      <c r="AP7" s="31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47" t="str">
        <f>IF(NOT(NOT(AND(AND(NOT(Q2),AND(NOT(NOT(AND(B2,B6))),M8,NOT(_xlfn.XOR(B10,B14)))),_xlfn.XOR(Y14,NOT(J18),NOT(_xlfn.XOR(J18,NOT(J22),NOT(J26))),AND(J26,J30))))),"ACCESS GRANTED","ACCESS DENIED")</f>
        <v>ACCESS DENIED</v>
      </c>
      <c r="BE7" s="48"/>
      <c r="BF7" s="48"/>
      <c r="BG7" s="48"/>
      <c r="BH7" s="48"/>
      <c r="BI7" s="48"/>
      <c r="BJ7" s="48"/>
      <c r="BK7" s="48"/>
      <c r="BL7" s="49"/>
      <c r="BM7" s="8"/>
      <c r="BN7" s="8"/>
      <c r="BO7" s="8"/>
      <c r="BP7" s="8"/>
      <c r="BQ7" s="9"/>
    </row>
    <row r="8" spans="1:69" ht="15.75" thickBot="1" x14ac:dyDescent="0.3">
      <c r="A8" s="5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35">
        <v>1</v>
      </c>
      <c r="N8" s="37"/>
      <c r="S8" s="7" t="s">
        <v>4</v>
      </c>
      <c r="X8" s="29"/>
      <c r="Y8" s="30"/>
      <c r="Z8" s="31"/>
      <c r="AA8" s="6"/>
      <c r="AC8" s="7" t="s">
        <v>4</v>
      </c>
      <c r="AF8" s="32"/>
      <c r="AG8" s="33"/>
      <c r="AH8" s="34"/>
      <c r="AI8" s="8"/>
      <c r="AJ8" s="8"/>
      <c r="AK8" s="8"/>
      <c r="AL8" s="8"/>
      <c r="AM8" s="8"/>
      <c r="AN8" s="29"/>
      <c r="AO8" s="30"/>
      <c r="AP8" s="31"/>
      <c r="AQ8" s="6"/>
      <c r="AS8" s="7" t="s">
        <v>4</v>
      </c>
      <c r="AV8" s="35" t="s">
        <v>9</v>
      </c>
      <c r="AW8" s="36"/>
      <c r="AX8" s="37"/>
      <c r="AY8" s="6"/>
      <c r="BA8" s="7" t="s">
        <v>4</v>
      </c>
      <c r="BD8" s="50"/>
      <c r="BE8" s="51"/>
      <c r="BF8" s="51"/>
      <c r="BG8" s="51"/>
      <c r="BH8" s="51"/>
      <c r="BI8" s="51"/>
      <c r="BJ8" s="51"/>
      <c r="BK8" s="51"/>
      <c r="BL8" s="52"/>
      <c r="BM8" s="8"/>
      <c r="BN8" s="8"/>
      <c r="BO8" s="8"/>
      <c r="BP8" s="8"/>
      <c r="BQ8" s="9"/>
    </row>
    <row r="9" spans="1:69" ht="15.75" thickBot="1" x14ac:dyDescent="0.3">
      <c r="A9" s="5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29"/>
      <c r="Y9" s="30"/>
      <c r="Z9" s="31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29"/>
      <c r="AO9" s="30"/>
      <c r="AP9" s="31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53"/>
      <c r="BE9" s="54"/>
      <c r="BF9" s="54"/>
      <c r="BG9" s="54"/>
      <c r="BH9" s="54"/>
      <c r="BI9" s="54"/>
      <c r="BJ9" s="54"/>
      <c r="BK9" s="54"/>
      <c r="BL9" s="55"/>
      <c r="BM9" s="8"/>
      <c r="BN9" s="8"/>
      <c r="BO9" s="8"/>
      <c r="BP9" s="8"/>
      <c r="BQ9" s="9"/>
    </row>
    <row r="10" spans="1:69" ht="15.75" thickBot="1" x14ac:dyDescent="0.3">
      <c r="A10" s="5"/>
      <c r="B10" s="57">
        <v>0</v>
      </c>
      <c r="C10" s="58"/>
      <c r="D10" s="6"/>
      <c r="F10" s="7" t="s">
        <v>4</v>
      </c>
      <c r="I10" s="38" t="s">
        <v>3</v>
      </c>
      <c r="J10" s="39"/>
      <c r="K10" s="40"/>
      <c r="L10" s="8"/>
      <c r="M10" s="8"/>
      <c r="N10" s="8"/>
      <c r="O10" s="8"/>
      <c r="P10" s="8"/>
      <c r="Q10" s="8"/>
      <c r="U10" s="7" t="s">
        <v>4</v>
      </c>
      <c r="X10" s="32"/>
      <c r="Y10" s="33"/>
      <c r="Z10" s="34"/>
      <c r="AA10" s="8"/>
      <c r="AB10" s="8"/>
      <c r="AC10" s="8"/>
      <c r="AD10" s="8"/>
      <c r="AE10" s="8"/>
      <c r="AF10" s="8"/>
      <c r="AK10" s="7" t="s">
        <v>4</v>
      </c>
      <c r="AN10" s="32"/>
      <c r="AO10" s="33"/>
      <c r="AP10" s="34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9"/>
    </row>
    <row r="11" spans="1:69" ht="15.75" thickBot="1" x14ac:dyDescent="0.3">
      <c r="A11" s="5"/>
      <c r="B11" s="8"/>
      <c r="C11" s="8"/>
      <c r="D11" s="8"/>
      <c r="E11" s="8"/>
      <c r="F11" s="8"/>
      <c r="G11" s="8"/>
      <c r="H11" s="8"/>
      <c r="I11" s="41"/>
      <c r="J11" s="42"/>
      <c r="K11" s="43"/>
      <c r="L11" s="8"/>
      <c r="M11" s="8"/>
      <c r="N11" s="8"/>
      <c r="O11" s="8"/>
      <c r="P11" s="8"/>
      <c r="Q11" s="8"/>
      <c r="R11" s="7" t="s">
        <v>7</v>
      </c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9"/>
    </row>
    <row r="12" spans="1:69" ht="15.75" thickBot="1" x14ac:dyDescent="0.3">
      <c r="A12" s="5"/>
      <c r="B12" s="8"/>
      <c r="C12" s="8"/>
      <c r="D12" s="8"/>
      <c r="E12" s="8"/>
      <c r="F12" s="8"/>
      <c r="G12" s="8"/>
      <c r="H12" s="8"/>
      <c r="I12" s="41"/>
      <c r="J12" s="42"/>
      <c r="K12" s="43"/>
      <c r="N12" s="7" t="s">
        <v>4</v>
      </c>
      <c r="Q12" s="35" t="s">
        <v>9</v>
      </c>
      <c r="R12" s="36"/>
      <c r="S12" s="37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7" t="s">
        <v>7</v>
      </c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9"/>
    </row>
    <row r="13" spans="1:69" ht="15.75" thickBot="1" x14ac:dyDescent="0.3">
      <c r="A13" s="5"/>
      <c r="B13" s="8"/>
      <c r="C13" s="8"/>
      <c r="D13" s="8"/>
      <c r="E13" s="8"/>
      <c r="F13" s="8"/>
      <c r="G13" s="8"/>
      <c r="H13" s="8"/>
      <c r="I13" s="41"/>
      <c r="J13" s="42"/>
      <c r="K13" s="43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9"/>
    </row>
    <row r="14" spans="1:69" ht="15.75" thickBot="1" x14ac:dyDescent="0.3">
      <c r="A14" s="5"/>
      <c r="B14" s="35">
        <v>1</v>
      </c>
      <c r="C14" s="37"/>
      <c r="D14" s="6"/>
      <c r="F14" s="7" t="s">
        <v>4</v>
      </c>
      <c r="I14" s="44"/>
      <c r="J14" s="45"/>
      <c r="K14" s="46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35">
        <v>0</v>
      </c>
      <c r="Z14" s="37"/>
      <c r="AA14" s="6"/>
      <c r="AC14" s="7" t="s">
        <v>4</v>
      </c>
      <c r="AF14" s="38" t="s">
        <v>3</v>
      </c>
      <c r="AG14" s="39"/>
      <c r="AH14" s="40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9"/>
    </row>
    <row r="15" spans="1:69" ht="15.75" thickBot="1" x14ac:dyDescent="0.3">
      <c r="A15" s="5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 t="s">
        <v>8</v>
      </c>
      <c r="AA15" s="8"/>
      <c r="AB15" s="8"/>
      <c r="AC15" s="8"/>
      <c r="AD15" s="8"/>
      <c r="AE15" s="8"/>
      <c r="AF15" s="41"/>
      <c r="AG15" s="42"/>
      <c r="AH15" s="43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9"/>
    </row>
    <row r="16" spans="1:69" ht="15.75" thickBot="1" x14ac:dyDescent="0.3">
      <c r="A16" s="5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U16" s="7" t="s">
        <v>4</v>
      </c>
      <c r="X16" s="35" t="s">
        <v>9</v>
      </c>
      <c r="Y16" s="36"/>
      <c r="Z16" s="37"/>
      <c r="AA16" s="6"/>
      <c r="AC16" s="7" t="s">
        <v>4</v>
      </c>
      <c r="AF16" s="41"/>
      <c r="AG16" s="42"/>
      <c r="AH16" s="43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9"/>
    </row>
    <row r="17" spans="1:69" ht="15.75" thickBot="1" x14ac:dyDescent="0.3">
      <c r="A17" s="5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41"/>
      <c r="AG17" s="42"/>
      <c r="AH17" s="43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9"/>
    </row>
    <row r="18" spans="1:69" ht="15.75" thickBot="1" x14ac:dyDescent="0.3">
      <c r="A18" s="5"/>
      <c r="B18" s="8"/>
      <c r="C18" s="8"/>
      <c r="D18" s="8"/>
      <c r="E18" s="8"/>
      <c r="F18" s="8"/>
      <c r="G18" s="8"/>
      <c r="H18" s="8"/>
      <c r="I18" s="8"/>
      <c r="J18" s="57">
        <v>0</v>
      </c>
      <c r="K18" s="58"/>
      <c r="N18" s="7" t="s">
        <v>4</v>
      </c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41"/>
      <c r="AG18" s="42"/>
      <c r="AH18" s="43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9"/>
    </row>
    <row r="19" spans="1:69" ht="15.75" thickBot="1" x14ac:dyDescent="0.3">
      <c r="A19" s="5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S19" s="8"/>
      <c r="T19" s="8"/>
      <c r="U19" s="8"/>
      <c r="V19" s="8"/>
      <c r="W19" s="8"/>
      <c r="X19" s="11"/>
      <c r="Y19" s="11"/>
      <c r="Z19" s="11"/>
      <c r="AA19" s="8"/>
      <c r="AB19" s="8"/>
      <c r="AC19" s="8"/>
      <c r="AD19" s="8"/>
      <c r="AE19" s="8"/>
      <c r="AF19" s="41"/>
      <c r="AG19" s="42"/>
      <c r="AH19" s="43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9"/>
    </row>
    <row r="20" spans="1:69" x14ac:dyDescent="0.25">
      <c r="A20" s="5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U20" s="7" t="s">
        <v>4</v>
      </c>
      <c r="X20" s="26" t="s">
        <v>10</v>
      </c>
      <c r="Y20" s="27"/>
      <c r="Z20" s="28"/>
      <c r="AA20" s="8"/>
      <c r="AB20" s="8"/>
      <c r="AC20" s="8"/>
      <c r="AD20" s="8"/>
      <c r="AE20" s="8"/>
      <c r="AF20" s="41"/>
      <c r="AG20" s="42"/>
      <c r="AH20" s="43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9"/>
    </row>
    <row r="21" spans="1:69" ht="15.75" thickBot="1" x14ac:dyDescent="0.3">
      <c r="A21" s="5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29"/>
      <c r="Y21" s="30"/>
      <c r="Z21" s="31"/>
      <c r="AA21" s="8"/>
      <c r="AB21" s="8"/>
      <c r="AC21" s="8"/>
      <c r="AD21" s="8"/>
      <c r="AE21" s="8"/>
      <c r="AF21" s="41"/>
      <c r="AG21" s="42"/>
      <c r="AH21" s="43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9"/>
    </row>
    <row r="22" spans="1:69" ht="15.75" thickBot="1" x14ac:dyDescent="0.3">
      <c r="A22" s="5"/>
      <c r="B22" s="8"/>
      <c r="C22" s="8"/>
      <c r="D22" s="8"/>
      <c r="E22" s="8"/>
      <c r="F22" s="8"/>
      <c r="G22" s="8"/>
      <c r="H22" s="8"/>
      <c r="I22" s="8"/>
      <c r="J22" s="35">
        <v>0</v>
      </c>
      <c r="K22" s="37"/>
      <c r="N22" s="7" t="s">
        <v>4</v>
      </c>
      <c r="Q22" s="35" t="s">
        <v>9</v>
      </c>
      <c r="R22" s="36"/>
      <c r="S22" s="37"/>
      <c r="U22" s="7" t="s">
        <v>4</v>
      </c>
      <c r="X22" s="29"/>
      <c r="Y22" s="30"/>
      <c r="Z22" s="31"/>
      <c r="AA22" s="6"/>
      <c r="AC22" s="7" t="s">
        <v>4</v>
      </c>
      <c r="AF22" s="41"/>
      <c r="AG22" s="42"/>
      <c r="AH22" s="43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9"/>
    </row>
    <row r="23" spans="1:69" ht="15.75" thickBot="1" x14ac:dyDescent="0.3">
      <c r="A23" s="5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29"/>
      <c r="Y23" s="30"/>
      <c r="Z23" s="31"/>
      <c r="AA23" s="8"/>
      <c r="AB23" s="8"/>
      <c r="AC23" s="8"/>
      <c r="AD23" s="8"/>
      <c r="AE23" s="8"/>
      <c r="AF23" s="41"/>
      <c r="AG23" s="42"/>
      <c r="AH23" s="43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9"/>
    </row>
    <row r="24" spans="1:69" ht="15.75" thickBot="1" x14ac:dyDescent="0.3">
      <c r="A24" s="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35" t="s">
        <v>9</v>
      </c>
      <c r="R24" s="36"/>
      <c r="S24" s="37"/>
      <c r="U24" s="7" t="s">
        <v>4</v>
      </c>
      <c r="X24" s="32"/>
      <c r="Y24" s="33"/>
      <c r="Z24" s="34"/>
      <c r="AA24" s="8"/>
      <c r="AB24" s="8"/>
      <c r="AC24" s="8"/>
      <c r="AD24" s="8"/>
      <c r="AE24" s="8"/>
      <c r="AF24" s="41"/>
      <c r="AG24" s="42"/>
      <c r="AH24" s="43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9"/>
    </row>
    <row r="25" spans="1:69" ht="15.75" thickBot="1" x14ac:dyDescent="0.3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7" t="s">
        <v>7</v>
      </c>
      <c r="S25" s="8"/>
      <c r="T25" s="8"/>
      <c r="U25" s="8"/>
      <c r="V25" s="8"/>
      <c r="W25" s="8"/>
      <c r="X25" s="11"/>
      <c r="Y25" s="11"/>
      <c r="Z25" s="11"/>
      <c r="AA25" s="8"/>
      <c r="AB25" s="8"/>
      <c r="AC25" s="8"/>
      <c r="AD25" s="8"/>
      <c r="AE25" s="8"/>
      <c r="AF25" s="41"/>
      <c r="AG25" s="42"/>
      <c r="AH25" s="43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9"/>
    </row>
    <row r="26" spans="1:69" ht="15.75" thickBot="1" x14ac:dyDescent="0.3">
      <c r="A26" s="5"/>
      <c r="B26" s="8"/>
      <c r="C26" s="8"/>
      <c r="D26" s="8"/>
      <c r="E26" s="8"/>
      <c r="F26" s="8"/>
      <c r="G26" s="8"/>
      <c r="H26" s="8"/>
      <c r="I26" s="8"/>
      <c r="J26" s="57">
        <v>0</v>
      </c>
      <c r="K26" s="58"/>
      <c r="N26" s="7" t="s">
        <v>4</v>
      </c>
      <c r="U26" s="7" t="s">
        <v>4</v>
      </c>
      <c r="X26" s="26" t="s">
        <v>5</v>
      </c>
      <c r="Y26" s="27"/>
      <c r="Z26" s="28"/>
      <c r="AA26" s="8"/>
      <c r="AB26" s="8"/>
      <c r="AC26" s="8"/>
      <c r="AD26" s="8"/>
      <c r="AE26" s="8"/>
      <c r="AF26" s="41"/>
      <c r="AG26" s="42"/>
      <c r="AH26" s="43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9"/>
    </row>
    <row r="27" spans="1:69" x14ac:dyDescent="0.25">
      <c r="A27" s="5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29"/>
      <c r="Y27" s="30"/>
      <c r="Z27" s="31"/>
      <c r="AA27" s="8"/>
      <c r="AB27" s="8"/>
      <c r="AC27" s="8"/>
      <c r="AD27" s="8"/>
      <c r="AE27" s="8"/>
      <c r="AF27" s="41"/>
      <c r="AG27" s="42"/>
      <c r="AH27" s="43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9"/>
    </row>
    <row r="28" spans="1:69" ht="15.75" thickBot="1" x14ac:dyDescent="0.3">
      <c r="A28" s="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29"/>
      <c r="Y28" s="30"/>
      <c r="Z28" s="31"/>
      <c r="AA28" s="6"/>
      <c r="AC28" s="7" t="s">
        <v>4</v>
      </c>
      <c r="AF28" s="44"/>
      <c r="AG28" s="45"/>
      <c r="AH28" s="46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9"/>
    </row>
    <row r="29" spans="1:69" ht="15.75" thickBot="1" x14ac:dyDescent="0.3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29"/>
      <c r="Y29" s="30"/>
      <c r="Z29" s="31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9"/>
    </row>
    <row r="30" spans="1:69" ht="15.75" thickBot="1" x14ac:dyDescent="0.3">
      <c r="A30" s="5"/>
      <c r="B30" s="8"/>
      <c r="C30" s="8"/>
      <c r="D30" s="8"/>
      <c r="E30" s="8"/>
      <c r="F30" s="8"/>
      <c r="G30" s="8"/>
      <c r="H30" s="8"/>
      <c r="I30" s="8"/>
      <c r="J30" s="57">
        <v>1</v>
      </c>
      <c r="K30" s="58"/>
      <c r="Q30" s="25" t="s">
        <v>4</v>
      </c>
      <c r="R30" s="25"/>
      <c r="X30" s="32"/>
      <c r="Y30" s="33"/>
      <c r="Z30" s="34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9"/>
    </row>
    <row r="31" spans="1:69" x14ac:dyDescent="0.25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9"/>
    </row>
    <row r="32" spans="1:69" x14ac:dyDescent="0.25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9"/>
    </row>
    <row r="33" spans="1:69" ht="15.75" thickBot="1" x14ac:dyDescent="0.3">
      <c r="A33" s="12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4"/>
    </row>
  </sheetData>
  <sheetProtection algorithmName="SHA-512" hashValue="jestxy+fLEhLlxUOkay90YsZE9TjZRzvXPSvL1iZ4HiN/HnWw+UnmuALurSz71z3TrHIfj+KmfkZo3/g3TNxPQ==" saltValue="nJCFsy3EfQJCnjqgNcua7Q==" spinCount="100000" sheet="1" objects="1" scenarios="1" selectLockedCells="1"/>
  <mergeCells count="28">
    <mergeCell ref="B2:C2"/>
    <mergeCell ref="B6:C6"/>
    <mergeCell ref="B10:C10"/>
    <mergeCell ref="AV8:AX8"/>
    <mergeCell ref="BD7:BL9"/>
    <mergeCell ref="B14:C14"/>
    <mergeCell ref="Q4:S4"/>
    <mergeCell ref="Q12:S12"/>
    <mergeCell ref="X6:Z10"/>
    <mergeCell ref="M8:N8"/>
    <mergeCell ref="AF4:AH8"/>
    <mergeCell ref="Y14:Z14"/>
    <mergeCell ref="I10:K14"/>
    <mergeCell ref="AN6:AP10"/>
    <mergeCell ref="AF14:AH28"/>
    <mergeCell ref="Q2:R2"/>
    <mergeCell ref="X2:Z2"/>
    <mergeCell ref="X26:Z30"/>
    <mergeCell ref="J18:K18"/>
    <mergeCell ref="J22:K22"/>
    <mergeCell ref="Q22:S22"/>
    <mergeCell ref="Q24:S24"/>
    <mergeCell ref="J26:K26"/>
    <mergeCell ref="J30:K30"/>
    <mergeCell ref="Q30:R30"/>
    <mergeCell ref="I2:K6"/>
    <mergeCell ref="X16:Z16"/>
    <mergeCell ref="X20:Z24"/>
  </mergeCells>
  <conditionalFormatting sqref="B2 Q2 B6 B10 J18 J26 J30">
    <cfRule type="cellIs" dxfId="3" priority="3" operator="equal">
      <formula>1</formula>
    </cfRule>
    <cfRule type="cellIs" dxfId="2" priority="4" operator="equal">
      <formula>0</formula>
    </cfRule>
  </conditionalFormatting>
  <conditionalFormatting sqref="BD7:BL9">
    <cfRule type="cellIs" dxfId="1" priority="1" operator="equal">
      <formula>"ACCESS GRANTED"</formula>
    </cfRule>
    <cfRule type="cellIs" dxfId="0" priority="2" operator="equal">
      <formula>"ACCESS DENIED"</formula>
    </cfRule>
  </conditionalFormatting>
  <dataValidations count="1">
    <dataValidation type="list" allowBlank="1" showInputMessage="1" showErrorMessage="1" errorTitle="ERROR" error="Sorry, I don't recognize this input!" promptTitle="SWITCH" prompt="Select an option" sqref="B2:C2 B6:C6 B10:C10 Q2:R2 J18:K18 J26:K26 J30:K30" xr:uid="{C71B046A-0B4E-4621-BE4D-E796F8346D26}">
      <formula1>"0,1"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FE81D-AD33-4B9A-8169-CEA0D6E3301F}">
  <dimension ref="A1:G11"/>
  <sheetViews>
    <sheetView workbookViewId="0">
      <selection activeCell="C6" sqref="A1:XFD1048576"/>
    </sheetView>
  </sheetViews>
  <sheetFormatPr defaultColWidth="18.7109375" defaultRowHeight="24" x14ac:dyDescent="0.4"/>
  <cols>
    <col min="1" max="16384" width="18.7109375" style="16"/>
  </cols>
  <sheetData>
    <row r="1" spans="1:7" s="15" customFormat="1" x14ac:dyDescent="0.4">
      <c r="A1" s="17" t="s">
        <v>68</v>
      </c>
      <c r="B1" s="17" t="s">
        <v>69</v>
      </c>
      <c r="C1" s="17" t="s">
        <v>70</v>
      </c>
      <c r="D1" s="17"/>
      <c r="E1" s="17" t="s">
        <v>0</v>
      </c>
      <c r="F1" s="17" t="s">
        <v>1</v>
      </c>
      <c r="G1" s="17" t="s">
        <v>71</v>
      </c>
    </row>
    <row r="2" spans="1:7" x14ac:dyDescent="0.4">
      <c r="A2" s="18">
        <f>1/4941.86</f>
        <v>2.023529602214551E-4</v>
      </c>
      <c r="B2" s="19">
        <f>LEN(Queue!F30)</f>
        <v>7</v>
      </c>
      <c r="C2" s="19">
        <f>CODE(RIGHT(Circuit!BD7))</f>
        <v>68</v>
      </c>
      <c r="D2" s="19"/>
      <c r="E2" s="19">
        <f>(C2/B2)*A2</f>
        <v>1.9657144707227064E-3</v>
      </c>
      <c r="F2" s="19">
        <f>MOD(48271*E2,2^31-1)</f>
        <v>94.887003216255764</v>
      </c>
      <c r="G2" s="20" t="str">
        <f>CHAR(FLOOR(F2,1))</f>
        <v>^</v>
      </c>
    </row>
    <row r="11" spans="1:7" x14ac:dyDescent="0.4">
      <c r="G11" s="17"/>
    </row>
  </sheetData>
  <sheetProtection algorithmName="SHA-512" hashValue="PfpnO/kXgwmldaGjNbq9N5e9AEpj7MnW2KwXuIiyaYGRU5D+BoaYq7oGBUbZJioLQDXPmVu9ovYM51kuew+j7A==" saltValue="B933QAtVav2jgk3OVDVvcA==" spinCount="100000" sheet="1" objects="1" scenarios="1"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Queue</vt:lpstr>
      <vt:lpstr>Circuit</vt:lpstr>
      <vt:lpstr>_DECRYPT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Zhang, Evan Hongyang</dc:creator>
  <cp:lastModifiedBy>Zhang, Evan Hongyang</cp:lastModifiedBy>
  <dcterms:created xsi:type="dcterms:W3CDTF">2026-02-12T04:14:46Z</dcterms:created>
  <dcterms:modified xsi:type="dcterms:W3CDTF">2026-02-13T02:13:09Z</dcterms:modified>
</cp:coreProperties>
</file>